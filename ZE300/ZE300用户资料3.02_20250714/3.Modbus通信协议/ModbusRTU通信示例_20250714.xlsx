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File\Servo_Driver_V3.0\Document\03. Modubs协议\"/>
    </mc:Choice>
  </mc:AlternateContent>
  <xr:revisionPtr revIDLastSave="0" documentId="13_ncr:1_{AE9D9993-F714-4220-82BF-077DD4588731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2" i="1"/>
  <c r="F23" i="1"/>
  <c r="F20" i="1"/>
  <c r="F16" i="1"/>
  <c r="F17" i="1"/>
  <c r="F18" i="1"/>
  <c r="F15" i="1"/>
  <c r="F10" i="1"/>
  <c r="F11" i="1"/>
  <c r="F12" i="1"/>
  <c r="F13" i="1"/>
  <c r="F9" i="1"/>
  <c r="F3" i="1"/>
  <c r="F4" i="1"/>
  <c r="F5" i="1"/>
  <c r="F6" i="1"/>
  <c r="F7" i="1"/>
</calcChain>
</file>

<file path=xl/sharedStrings.xml><?xml version="1.0" encoding="utf-8"?>
<sst xmlns="http://schemas.openxmlformats.org/spreadsheetml/2006/main" count="92" uniqueCount="63">
  <si>
    <t>运行模式</t>
    <phoneticPr fontId="1" type="noConversion"/>
  </si>
  <si>
    <t>运行步骤</t>
    <phoneticPr fontId="1" type="noConversion"/>
  </si>
  <si>
    <t>设定相对运动位置值；</t>
    <phoneticPr fontId="1" type="noConversion"/>
  </si>
  <si>
    <t>失能电机；</t>
    <phoneticPr fontId="1" type="noConversion"/>
  </si>
  <si>
    <t>运行模式设为：Q轴电流控制；</t>
    <phoneticPr fontId="1" type="noConversion"/>
  </si>
  <si>
    <t>设定目标Q轴电流；</t>
    <phoneticPr fontId="1" type="noConversion"/>
  </si>
  <si>
    <t>设定Q轴电流斜率；</t>
    <phoneticPr fontId="1" type="noConversion"/>
  </si>
  <si>
    <t>运行模式设为：速度控制；</t>
    <phoneticPr fontId="1" type="noConversion"/>
  </si>
  <si>
    <t>设定目标速度；</t>
    <phoneticPr fontId="1" type="noConversion"/>
  </si>
  <si>
    <t>设定速度模式加速度；</t>
    <phoneticPr fontId="1" type="noConversion"/>
  </si>
  <si>
    <t>运行模式设为：绝对值位置控制；</t>
    <phoneticPr fontId="1" type="noConversion"/>
  </si>
  <si>
    <t>设定绝对值目标位置；</t>
    <phoneticPr fontId="1" type="noConversion"/>
  </si>
  <si>
    <t>运行模式设为：相对位置控制；</t>
    <phoneticPr fontId="1" type="noConversion"/>
  </si>
  <si>
    <t>0x00</t>
    <phoneticPr fontId="1" type="noConversion"/>
  </si>
  <si>
    <t>0x01</t>
    <phoneticPr fontId="1" type="noConversion"/>
  </si>
  <si>
    <t>0xFF</t>
    <phoneticPr fontId="1" type="noConversion"/>
  </si>
  <si>
    <t>Length</t>
    <phoneticPr fontId="1" type="noConversion"/>
  </si>
  <si>
    <t>Modbus地址</t>
    <phoneticPr fontId="1" type="noConversion"/>
  </si>
  <si>
    <t>值</t>
    <phoneticPr fontId="1" type="noConversion"/>
  </si>
  <si>
    <t>十进制</t>
    <phoneticPr fontId="1" type="noConversion"/>
  </si>
  <si>
    <t>十六进制</t>
    <phoneticPr fontId="1" type="noConversion"/>
  </si>
  <si>
    <t>0x000003E8</t>
    <phoneticPr fontId="1" type="noConversion"/>
  </si>
  <si>
    <t>0x000000C8</t>
    <phoneticPr fontId="1" type="noConversion"/>
  </si>
  <si>
    <t>01 06 01 80 00 00 89 DE</t>
    <phoneticPr fontId="1" type="noConversion"/>
  </si>
  <si>
    <t>01 06 01 81 00 01 19 DE</t>
    <phoneticPr fontId="1" type="noConversion"/>
  </si>
  <si>
    <t>ModbusRTU指令（Hex）
（从机设备地址为1）</t>
    <phoneticPr fontId="1" type="noConversion"/>
  </si>
  <si>
    <t>ModbusRTU返回指令（Hex）
（从机设备地址为1）</t>
    <phoneticPr fontId="1" type="noConversion"/>
  </si>
  <si>
    <t>01 10 01 82 00 02 04 00 00 03 E8 77 38</t>
    <phoneticPr fontId="1" type="noConversion"/>
  </si>
  <si>
    <t>01 10 01 82 00 02 E0 1C</t>
    <phoneticPr fontId="1" type="noConversion"/>
  </si>
  <si>
    <t>01 10 01 84 00 02 04 00 00 00 C8 F6 3A</t>
    <phoneticPr fontId="1" type="noConversion"/>
  </si>
  <si>
    <t>01 10 01 84 00 02 00 1D</t>
    <phoneticPr fontId="1" type="noConversion"/>
  </si>
  <si>
    <t>01 06 01 80 00 FF C9 9E</t>
    <phoneticPr fontId="1" type="noConversion"/>
  </si>
  <si>
    <t>01 06 01 80 00 00 89 DE</t>
  </si>
  <si>
    <t>01 06 01 80 00 FF C9 9E</t>
  </si>
  <si>
    <t>0x02</t>
    <phoneticPr fontId="1" type="noConversion"/>
  </si>
  <si>
    <t>0x03</t>
    <phoneticPr fontId="1" type="noConversion"/>
  </si>
  <si>
    <t>0x04</t>
    <phoneticPr fontId="1" type="noConversion"/>
  </si>
  <si>
    <t>01 06 01 81 00 02 59 DF</t>
    <phoneticPr fontId="1" type="noConversion"/>
  </si>
  <si>
    <t>0x00002710</t>
    <phoneticPr fontId="1" type="noConversion"/>
  </si>
  <si>
    <t>0x000007D0</t>
    <phoneticPr fontId="1" type="noConversion"/>
  </si>
  <si>
    <t>Q轴电流控制
目标电流1A（1/0.001 = 1000）
电流斜率0.2A/s（0.2/0.001 = 200）</t>
    <phoneticPr fontId="1" type="noConversion"/>
  </si>
  <si>
    <t>目标速度
目标速度为100Rpm（100/0.01 = 10000）
加速度为20Rpm/s（20/0.01 = 2000）</t>
    <phoneticPr fontId="1" type="noConversion"/>
  </si>
  <si>
    <t>绝对值位置控制
相对位置转动90度
（90/360*16384 = 4096）</t>
    <phoneticPr fontId="1" type="noConversion"/>
  </si>
  <si>
    <t>01 10 01 86 00 02 04 00 00 27 10 6C 49</t>
    <phoneticPr fontId="1" type="noConversion"/>
  </si>
  <si>
    <t>01 10 01 86 00 02 A1 DD</t>
    <phoneticPr fontId="1" type="noConversion"/>
  </si>
  <si>
    <t>01 10 01 88 00 02 04 00 00 07 D0 F4 55</t>
    <phoneticPr fontId="1" type="noConversion"/>
  </si>
  <si>
    <t>01 10 01 88 00 02 C0 1E</t>
    <phoneticPr fontId="1" type="noConversion"/>
  </si>
  <si>
    <t>0x00002000</t>
    <phoneticPr fontId="1" type="noConversion"/>
  </si>
  <si>
    <t>0x00001000</t>
    <phoneticPr fontId="1" type="noConversion"/>
  </si>
  <si>
    <t>01 06 01 81 00 03 98 1F</t>
    <phoneticPr fontId="1" type="noConversion"/>
  </si>
  <si>
    <t>01 10 01 8A 00 02 04 00 00 20 00 6F E0</t>
    <phoneticPr fontId="1" type="noConversion"/>
  </si>
  <si>
    <t>01 10 01 8A 00 02 61 DE</t>
    <phoneticPr fontId="1" type="noConversion"/>
  </si>
  <si>
    <t>01 06 01 81 00 04 D9 DD</t>
  </si>
  <si>
    <t>01 06 01 81 00 04 D9 DD</t>
    <phoneticPr fontId="1" type="noConversion"/>
  </si>
  <si>
    <t>01 10 01 8C 00 02 81 DF</t>
    <phoneticPr fontId="1" type="noConversion"/>
  </si>
  <si>
    <t>下发参数和命令，使能电机运行；</t>
    <phoneticPr fontId="1" type="noConversion"/>
  </si>
  <si>
    <t>命令说明：</t>
    <phoneticPr fontId="1" type="noConversion"/>
  </si>
  <si>
    <t>01 06 01 80 00 00 89 DE</t>
    <phoneticPr fontId="1" type="noConversion"/>
  </si>
  <si>
    <t>01 10 01 82 00 02 04 00 00 03 E8 77 38</t>
    <phoneticPr fontId="1" type="noConversion"/>
  </si>
  <si>
    <t>01：从机地址；06：功能码-写单个保持寄存器；0180：协议寄存器地址；0000：数据；89DE：校验值；</t>
    <phoneticPr fontId="1" type="noConversion"/>
  </si>
  <si>
    <t>01：从机地址；10：功能码-写多个保持寄存器；0182：协议寄存器地址；0002：寄存器数；04：字节数；000003E8：数据；7738：校验值；</t>
    <phoneticPr fontId="1" type="noConversion"/>
  </si>
  <si>
    <t>绝对值位置控制
目标绝对值位置为180度
（180/360*16384 = 8192）</t>
    <phoneticPr fontId="1" type="noConversion"/>
  </si>
  <si>
    <t>01 10 01 8C 00 02 04 00 00 10 00 FB CA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</si>
</sst>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Microsoft YaHei UI"/>
      <family val="2"/>
      <charset val="134"/>
    </font>
    <font>
      <b/>
      <sz val="10"/>
      <color theme="0"/>
      <name val="Microsoft YaHei UI"/>
      <family val="2"/>
      <charset val="134"/>
    </font>
    <font>
      <sz val="10"/>
      <color theme="1"/>
      <name val="Microsoft YaHei U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1C3879"/>
        <bgColor indexed="64"/>
      </patternFill>
    </fill>
  </fills>
  <borders count="15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tted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32">
    <xf numFmtId="0" fontId="0" fillId="0" borderId="0" xfId="0"/>
    <xf numFmtId="0" fontId="3" fillId="0" borderId="0" xfId="0" applyFont="1" applyAlignment="1">
      <alignment horizontal="left"/>
    </xf>
    <xf numFmtId="0" fontId="4" fillId="4" borderId="1" xfId="0" applyFont="1" applyFill="1" applyBorder="1" applyAlignment="1">
      <alignment horizontal="center"/>
    </xf>
    <xf numFmtId="0" fontId="5" fillId="2" borderId="1" xfId="1" applyFont="1" applyBorder="1" applyAlignment="1">
      <alignment horizontal="left"/>
    </xf>
    <xf numFmtId="0" fontId="5" fillId="3" borderId="1" xfId="2" applyFont="1" applyBorder="1" applyAlignment="1">
      <alignment horizontal="left"/>
    </xf>
    <xf numFmtId="0" fontId="5" fillId="2" borderId="10" xfId="1" applyFont="1" applyBorder="1" applyAlignment="1">
      <alignment horizontal="left"/>
    </xf>
    <xf numFmtId="0" fontId="5" fillId="3" borderId="10" xfId="2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1" xfId="0" applyFont="1" applyBorder="1" applyAlignment="1">
      <alignment horizontal="left"/>
    </xf>
    <xf numFmtId="0" fontId="5" fillId="3" borderId="9" xfId="2" applyFont="1" applyBorder="1" applyAlignment="1">
      <alignment horizontal="left" vertical="center" wrapText="1"/>
    </xf>
    <xf numFmtId="0" fontId="5" fillId="3" borderId="9" xfId="2" applyFont="1" applyBorder="1" applyAlignment="1">
      <alignment horizontal="left" vertical="center"/>
    </xf>
    <xf numFmtId="0" fontId="4" fillId="4" borderId="4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/>
    </xf>
    <xf numFmtId="0" fontId="5" fillId="2" borderId="9" xfId="1" applyFont="1" applyBorder="1" applyAlignment="1">
      <alignment horizontal="left" vertical="center" wrapText="1"/>
    </xf>
    <xf numFmtId="0" fontId="5" fillId="2" borderId="9" xfId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</cellXfs>
  <cellStyles count="3">
    <cellStyle name="20% - 着色 1" xfId="1" builtinId="30"/>
    <cellStyle name="20% - 着色 3" xfId="2" builtinId="38"/>
    <cellStyle name="常规" xfId="0" builtinId="0"/>
  </cellStyles>
  <dxfs count="0"/>
  <tableStyles count="0" defaultTableStyle="TableStyleMedium2" defaultPivotStyle="PivotStyleLight16"/>
  <colors>
    <mruColors>
      <color rgb="FF1C38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9"/>
  <sheetViews>
    <sheetView tabSelected="1" zoomScale="85" zoomScaleNormal="85" workbookViewId="0">
      <selection activeCell="H22" sqref="H22"/>
    </sheetView>
  </sheetViews>
  <sheetFormatPr defaultColWidth="9.0703125" defaultRowHeight="16.3" x14ac:dyDescent="0.5"/>
  <cols>
    <col min="1" max="1" width="37.5" style="1" bestFit="1" customWidth="1"/>
    <col min="2" max="2" width="33.0703125" style="1" bestFit="1" customWidth="1"/>
    <col min="3" max="3" width="7.2109375" style="1" bestFit="1" customWidth="1"/>
    <col min="4" max="4" width="12.0703125" style="1" bestFit="1" customWidth="1"/>
    <col min="5" max="5" width="6.78515625" style="1" bestFit="1" customWidth="1"/>
    <col min="6" max="6" width="8.42578125" style="1" customWidth="1"/>
    <col min="7" max="7" width="7.640625" style="1" bestFit="1" customWidth="1"/>
    <col min="8" max="8" width="35.5" style="1" bestFit="1" customWidth="1"/>
    <col min="9" max="9" width="28.78515625" style="1" customWidth="1"/>
    <col min="10" max="16384" width="9.0703125" style="1"/>
  </cols>
  <sheetData>
    <row r="1" spans="1:9" ht="13.95" customHeight="1" x14ac:dyDescent="0.5">
      <c r="A1" s="13" t="s">
        <v>0</v>
      </c>
      <c r="B1" s="15" t="s">
        <v>1</v>
      </c>
      <c r="C1" s="12" t="s">
        <v>18</v>
      </c>
      <c r="D1" s="12"/>
      <c r="E1" s="12" t="s">
        <v>17</v>
      </c>
      <c r="F1" s="12"/>
      <c r="G1" s="12"/>
      <c r="H1" s="17" t="s">
        <v>25</v>
      </c>
      <c r="I1" s="22" t="s">
        <v>26</v>
      </c>
    </row>
    <row r="2" spans="1:9" ht="13.95" customHeight="1" x14ac:dyDescent="0.5">
      <c r="A2" s="14"/>
      <c r="B2" s="16"/>
      <c r="C2" s="2" t="s">
        <v>19</v>
      </c>
      <c r="D2" s="2" t="s">
        <v>20</v>
      </c>
      <c r="E2" s="2" t="s">
        <v>19</v>
      </c>
      <c r="F2" s="2" t="s">
        <v>20</v>
      </c>
      <c r="G2" s="2" t="s">
        <v>16</v>
      </c>
      <c r="H2" s="18"/>
      <c r="I2" s="23"/>
    </row>
    <row r="3" spans="1:9" x14ac:dyDescent="0.5">
      <c r="A3" s="24" t="s">
        <v>40</v>
      </c>
      <c r="B3" s="3" t="s">
        <v>3</v>
      </c>
      <c r="C3" s="3">
        <v>0</v>
      </c>
      <c r="D3" s="3" t="s">
        <v>13</v>
      </c>
      <c r="E3" s="3">
        <v>384</v>
      </c>
      <c r="F3" s="3" t="str">
        <f>"0x"&amp;RIGHT("0000"&amp;DEC2HEX(E3),4)</f>
        <v>0x0180</v>
      </c>
      <c r="G3" s="3">
        <v>1</v>
      </c>
      <c r="H3" s="3" t="s">
        <v>23</v>
      </c>
      <c r="I3" s="5" t="s">
        <v>23</v>
      </c>
    </row>
    <row r="4" spans="1:9" x14ac:dyDescent="0.5">
      <c r="A4" s="25"/>
      <c r="B4" s="3" t="s">
        <v>4</v>
      </c>
      <c r="C4" s="3">
        <v>1</v>
      </c>
      <c r="D4" s="3" t="s">
        <v>14</v>
      </c>
      <c r="E4" s="3">
        <v>385</v>
      </c>
      <c r="F4" s="3" t="str">
        <f t="shared" ref="F4:F7" si="0">"0x"&amp;RIGHT("0000"&amp;DEC2HEX(E4),4)</f>
        <v>0x0181</v>
      </c>
      <c r="G4" s="3">
        <v>1</v>
      </c>
      <c r="H4" s="3" t="s">
        <v>24</v>
      </c>
      <c r="I4" s="5" t="s">
        <v>24</v>
      </c>
    </row>
    <row r="5" spans="1:9" x14ac:dyDescent="0.5">
      <c r="A5" s="25"/>
      <c r="B5" s="3" t="s">
        <v>5</v>
      </c>
      <c r="C5" s="3">
        <v>1000</v>
      </c>
      <c r="D5" s="3" t="s">
        <v>21</v>
      </c>
      <c r="E5" s="3">
        <v>386</v>
      </c>
      <c r="F5" s="3" t="str">
        <f t="shared" si="0"/>
        <v>0x0182</v>
      </c>
      <c r="G5" s="3">
        <v>2</v>
      </c>
      <c r="H5" s="3" t="s">
        <v>27</v>
      </c>
      <c r="I5" s="5" t="s">
        <v>28</v>
      </c>
    </row>
    <row r="6" spans="1:9" x14ac:dyDescent="0.5">
      <c r="A6" s="25"/>
      <c r="B6" s="3" t="s">
        <v>6</v>
      </c>
      <c r="C6" s="3">
        <v>200</v>
      </c>
      <c r="D6" s="3" t="s">
        <v>22</v>
      </c>
      <c r="E6" s="3">
        <v>388</v>
      </c>
      <c r="F6" s="3" t="str">
        <f t="shared" si="0"/>
        <v>0x0184</v>
      </c>
      <c r="G6" s="3">
        <v>2</v>
      </c>
      <c r="H6" s="3" t="s">
        <v>29</v>
      </c>
      <c r="I6" s="5" t="s">
        <v>30</v>
      </c>
    </row>
    <row r="7" spans="1:9" x14ac:dyDescent="0.5">
      <c r="A7" s="25"/>
      <c r="B7" s="3" t="s">
        <v>55</v>
      </c>
      <c r="C7" s="3">
        <v>255</v>
      </c>
      <c r="D7" s="3" t="s">
        <v>15</v>
      </c>
      <c r="E7" s="3">
        <v>384</v>
      </c>
      <c r="F7" s="3" t="str">
        <f t="shared" si="0"/>
        <v>0x0180</v>
      </c>
      <c r="G7" s="3">
        <v>1</v>
      </c>
      <c r="H7" s="3" t="s">
        <v>31</v>
      </c>
      <c r="I7" s="5" t="s">
        <v>31</v>
      </c>
    </row>
    <row r="8" spans="1:9" x14ac:dyDescent="0.5">
      <c r="A8" s="19"/>
      <c r="B8" s="20"/>
      <c r="C8" s="20"/>
      <c r="D8" s="20"/>
      <c r="E8" s="20"/>
      <c r="F8" s="20"/>
      <c r="G8" s="20"/>
      <c r="H8" s="20"/>
      <c r="I8" s="21"/>
    </row>
    <row r="9" spans="1:9" x14ac:dyDescent="0.5">
      <c r="A9" s="10" t="s">
        <v>41</v>
      </c>
      <c r="B9" s="4" t="s">
        <v>3</v>
      </c>
      <c r="C9" s="4">
        <v>0</v>
      </c>
      <c r="D9" s="4" t="s">
        <v>13</v>
      </c>
      <c r="E9" s="4">
        <v>384</v>
      </c>
      <c r="F9" s="4" t="str">
        <f>"0x"&amp;RIGHT("0000"&amp;DEC2HEX(E9),4)</f>
        <v>0x0180</v>
      </c>
      <c r="G9" s="4">
        <v>1</v>
      </c>
      <c r="H9" s="4" t="s">
        <v>32</v>
      </c>
      <c r="I9" s="6" t="s">
        <v>32</v>
      </c>
    </row>
    <row r="10" spans="1:9" x14ac:dyDescent="0.5">
      <c r="A10" s="11"/>
      <c r="B10" s="4" t="s">
        <v>7</v>
      </c>
      <c r="C10" s="4">
        <v>2</v>
      </c>
      <c r="D10" s="4" t="s">
        <v>34</v>
      </c>
      <c r="E10" s="4">
        <v>385</v>
      </c>
      <c r="F10" s="4" t="str">
        <f t="shared" ref="F10:F13" si="1">"0x"&amp;RIGHT("0000"&amp;DEC2HEX(E10),4)</f>
        <v>0x0181</v>
      </c>
      <c r="G10" s="4">
        <v>1</v>
      </c>
      <c r="H10" s="4" t="s">
        <v>37</v>
      </c>
      <c r="I10" s="6" t="s">
        <v>37</v>
      </c>
    </row>
    <row r="11" spans="1:9" x14ac:dyDescent="0.5">
      <c r="A11" s="11"/>
      <c r="B11" s="4" t="s">
        <v>8</v>
      </c>
      <c r="C11" s="4">
        <v>10000</v>
      </c>
      <c r="D11" s="4" t="s">
        <v>38</v>
      </c>
      <c r="E11" s="4">
        <v>390</v>
      </c>
      <c r="F11" s="4" t="str">
        <f t="shared" si="1"/>
        <v>0x0186</v>
      </c>
      <c r="G11" s="4">
        <v>2</v>
      </c>
      <c r="H11" s="4" t="s">
        <v>43</v>
      </c>
      <c r="I11" s="6" t="s">
        <v>44</v>
      </c>
    </row>
    <row r="12" spans="1:9" x14ac:dyDescent="0.5">
      <c r="A12" s="11"/>
      <c r="B12" s="4" t="s">
        <v>9</v>
      </c>
      <c r="C12" s="4">
        <v>2000</v>
      </c>
      <c r="D12" s="4" t="s">
        <v>39</v>
      </c>
      <c r="E12" s="4">
        <v>392</v>
      </c>
      <c r="F12" s="4" t="str">
        <f t="shared" si="1"/>
        <v>0x0188</v>
      </c>
      <c r="G12" s="4">
        <v>2</v>
      </c>
      <c r="H12" s="4" t="s">
        <v>45</v>
      </c>
      <c r="I12" s="6" t="s">
        <v>46</v>
      </c>
    </row>
    <row r="13" spans="1:9" x14ac:dyDescent="0.5">
      <c r="A13" s="11"/>
      <c r="B13" s="4" t="s">
        <v>55</v>
      </c>
      <c r="C13" s="4">
        <v>255</v>
      </c>
      <c r="D13" s="4" t="s">
        <v>15</v>
      </c>
      <c r="E13" s="4">
        <v>384</v>
      </c>
      <c r="F13" s="4" t="str">
        <f t="shared" si="1"/>
        <v>0x0180</v>
      </c>
      <c r="G13" s="4">
        <v>1</v>
      </c>
      <c r="H13" s="4" t="s">
        <v>33</v>
      </c>
      <c r="I13" s="6" t="s">
        <v>33</v>
      </c>
    </row>
    <row r="14" spans="1:9" x14ac:dyDescent="0.5">
      <c r="A14" s="19"/>
      <c r="B14" s="20"/>
      <c r="C14" s="20"/>
      <c r="D14" s="20"/>
      <c r="E14" s="20"/>
      <c r="F14" s="20"/>
      <c r="G14" s="20"/>
      <c r="H14" s="20"/>
      <c r="I14" s="21"/>
    </row>
    <row r="15" spans="1:9" x14ac:dyDescent="0.5">
      <c r="A15" s="24" t="s">
        <v>61</v>
      </c>
      <c r="B15" s="3" t="s">
        <v>3</v>
      </c>
      <c r="C15" s="3">
        <v>0</v>
      </c>
      <c r="D15" s="3" t="s">
        <v>13</v>
      </c>
      <c r="E15" s="3">
        <v>384</v>
      </c>
      <c r="F15" s="3" t="str">
        <f>"0x"&amp;RIGHT("0000"&amp;DEC2HEX(E15),4)</f>
        <v>0x0180</v>
      </c>
      <c r="G15" s="3">
        <v>1</v>
      </c>
      <c r="H15" s="3" t="s">
        <v>32</v>
      </c>
      <c r="I15" s="5" t="s">
        <v>32</v>
      </c>
    </row>
    <row r="16" spans="1:9" x14ac:dyDescent="0.5">
      <c r="A16" s="25"/>
      <c r="B16" s="3" t="s">
        <v>10</v>
      </c>
      <c r="C16" s="3">
        <v>3</v>
      </c>
      <c r="D16" s="3" t="s">
        <v>35</v>
      </c>
      <c r="E16" s="3">
        <v>385</v>
      </c>
      <c r="F16" s="3" t="str">
        <f t="shared" ref="F16:F18" si="2">"0x"&amp;RIGHT("0000"&amp;DEC2HEX(E16),4)</f>
        <v>0x0181</v>
      </c>
      <c r="G16" s="3">
        <v>1</v>
      </c>
      <c r="H16" s="3" t="s">
        <v>49</v>
      </c>
      <c r="I16" s="5" t="s">
        <v>49</v>
      </c>
    </row>
    <row r="17" spans="1:9" x14ac:dyDescent="0.5">
      <c r="A17" s="25"/>
      <c r="B17" s="3" t="s">
        <v>11</v>
      </c>
      <c r="C17" s="3">
        <v>8192</v>
      </c>
      <c r="D17" s="3" t="s">
        <v>47</v>
      </c>
      <c r="E17" s="3">
        <v>394</v>
      </c>
      <c r="F17" s="3" t="str">
        <f t="shared" si="2"/>
        <v>0x018A</v>
      </c>
      <c r="G17" s="3">
        <v>2</v>
      </c>
      <c r="H17" s="3" t="s">
        <v>50</v>
      </c>
      <c r="I17" s="5" t="s">
        <v>51</v>
      </c>
    </row>
    <row r="18" spans="1:9" x14ac:dyDescent="0.5">
      <c r="A18" s="25"/>
      <c r="B18" s="3" t="s">
        <v>55</v>
      </c>
      <c r="C18" s="3">
        <v>255</v>
      </c>
      <c r="D18" s="3" t="s">
        <v>15</v>
      </c>
      <c r="E18" s="3">
        <v>384</v>
      </c>
      <c r="F18" s="3" t="str">
        <f t="shared" si="2"/>
        <v>0x0180</v>
      </c>
      <c r="G18" s="3">
        <v>1</v>
      </c>
      <c r="H18" s="4" t="s">
        <v>33</v>
      </c>
      <c r="I18" s="6" t="s">
        <v>33</v>
      </c>
    </row>
    <row r="19" spans="1:9" x14ac:dyDescent="0.5">
      <c r="A19" s="19"/>
      <c r="B19" s="20"/>
      <c r="C19" s="20"/>
      <c r="D19" s="20"/>
      <c r="E19" s="20"/>
      <c r="F19" s="20"/>
      <c r="G19" s="20"/>
      <c r="H19" s="20"/>
      <c r="I19" s="21"/>
    </row>
    <row r="20" spans="1:9" x14ac:dyDescent="0.5">
      <c r="A20" s="10" t="s">
        <v>42</v>
      </c>
      <c r="B20" s="4" t="s">
        <v>3</v>
      </c>
      <c r="C20" s="4">
        <v>0</v>
      </c>
      <c r="D20" s="4" t="s">
        <v>13</v>
      </c>
      <c r="E20" s="4">
        <v>384</v>
      </c>
      <c r="F20" s="4" t="str">
        <f>"0x"&amp;RIGHT("0000"&amp;DEC2HEX(E20),4)</f>
        <v>0x0180</v>
      </c>
      <c r="G20" s="4">
        <v>1</v>
      </c>
      <c r="H20" s="4" t="s">
        <v>32</v>
      </c>
      <c r="I20" s="6" t="s">
        <v>32</v>
      </c>
    </row>
    <row r="21" spans="1:9" x14ac:dyDescent="0.5">
      <c r="A21" s="11"/>
      <c r="B21" s="4" t="s">
        <v>12</v>
      </c>
      <c r="C21" s="4">
        <v>4</v>
      </c>
      <c r="D21" s="4" t="s">
        <v>36</v>
      </c>
      <c r="E21" s="4">
        <v>385</v>
      </c>
      <c r="F21" s="4" t="str">
        <f t="shared" ref="F21:F23" si="3">"0x"&amp;RIGHT("0000"&amp;DEC2HEX(E21),4)</f>
        <v>0x0181</v>
      </c>
      <c r="G21" s="4">
        <v>1</v>
      </c>
      <c r="H21" s="4" t="s">
        <v>53</v>
      </c>
      <c r="I21" s="6" t="s">
        <v>52</v>
      </c>
    </row>
    <row r="22" spans="1:9" x14ac:dyDescent="0.5">
      <c r="A22" s="11"/>
      <c r="B22" s="4" t="s">
        <v>2</v>
      </c>
      <c r="C22" s="4">
        <v>4096</v>
      </c>
      <c r="D22" s="4" t="s">
        <v>48</v>
      </c>
      <c r="E22" s="4">
        <v>396</v>
      </c>
      <c r="F22" s="4" t="str">
        <f t="shared" si="3"/>
        <v>0x018C</v>
      </c>
      <c r="G22" s="4">
        <v>2</v>
      </c>
      <c r="H22" s="4" t="s">
        <v>62</v>
      </c>
      <c r="I22" s="6" t="s">
        <v>54</v>
      </c>
    </row>
    <row r="23" spans="1:9" x14ac:dyDescent="0.5">
      <c r="A23" s="11"/>
      <c r="B23" s="4" t="s">
        <v>55</v>
      </c>
      <c r="C23" s="4">
        <v>255</v>
      </c>
      <c r="D23" s="4" t="s">
        <v>15</v>
      </c>
      <c r="E23" s="4">
        <v>384</v>
      </c>
      <c r="F23" s="4" t="str">
        <f t="shared" si="3"/>
        <v>0x0180</v>
      </c>
      <c r="G23" s="4">
        <v>1</v>
      </c>
      <c r="H23" s="4" t="s">
        <v>33</v>
      </c>
      <c r="I23" s="6" t="s">
        <v>33</v>
      </c>
    </row>
    <row r="24" spans="1:9" x14ac:dyDescent="0.5">
      <c r="A24" s="7"/>
      <c r="B24" s="8"/>
      <c r="C24" s="8"/>
      <c r="D24" s="8"/>
      <c r="E24" s="8"/>
      <c r="F24" s="8"/>
      <c r="G24" s="8"/>
      <c r="H24" s="8"/>
      <c r="I24" s="9"/>
    </row>
    <row r="25" spans="1:9" x14ac:dyDescent="0.5">
      <c r="A25" s="26" t="s">
        <v>56</v>
      </c>
      <c r="B25" s="27"/>
      <c r="C25" s="27"/>
      <c r="D25" s="27"/>
      <c r="E25" s="27"/>
      <c r="F25" s="27"/>
      <c r="G25" s="27"/>
      <c r="H25" s="27"/>
      <c r="I25" s="28"/>
    </row>
    <row r="26" spans="1:9" x14ac:dyDescent="0.5">
      <c r="A26" s="26" t="s">
        <v>57</v>
      </c>
      <c r="B26" s="27"/>
      <c r="C26" s="27"/>
      <c r="D26" s="27"/>
      <c r="E26" s="27"/>
      <c r="F26" s="27"/>
      <c r="G26" s="27"/>
      <c r="H26" s="27"/>
      <c r="I26" s="28"/>
    </row>
    <row r="27" spans="1:9" x14ac:dyDescent="0.5">
      <c r="A27" s="26" t="s">
        <v>59</v>
      </c>
      <c r="B27" s="27"/>
      <c r="C27" s="27"/>
      <c r="D27" s="27"/>
      <c r="E27" s="27"/>
      <c r="F27" s="27"/>
      <c r="G27" s="27"/>
      <c r="H27" s="27"/>
      <c r="I27" s="28"/>
    </row>
    <row r="28" spans="1:9" x14ac:dyDescent="0.5">
      <c r="A28" s="26" t="s">
        <v>58</v>
      </c>
      <c r="B28" s="27"/>
      <c r="C28" s="27"/>
      <c r="D28" s="27"/>
      <c r="E28" s="27"/>
      <c r="F28" s="27"/>
      <c r="G28" s="27"/>
      <c r="H28" s="27"/>
      <c r="I28" s="28"/>
    </row>
    <row r="29" spans="1:9" x14ac:dyDescent="0.5">
      <c r="A29" s="29" t="s">
        <v>60</v>
      </c>
      <c r="B29" s="30"/>
      <c r="C29" s="30"/>
      <c r="D29" s="30"/>
      <c r="E29" s="30"/>
      <c r="F29" s="30"/>
      <c r="G29" s="30"/>
      <c r="H29" s="30"/>
      <c r="I29" s="31"/>
    </row>
  </sheetData>
  <mergeCells count="18">
    <mergeCell ref="A25:I25"/>
    <mergeCell ref="A26:I26"/>
    <mergeCell ref="A27:I27"/>
    <mergeCell ref="A28:I28"/>
    <mergeCell ref="A29:I29"/>
    <mergeCell ref="H1:H2"/>
    <mergeCell ref="A19:I19"/>
    <mergeCell ref="A8:I8"/>
    <mergeCell ref="A14:I14"/>
    <mergeCell ref="I1:I2"/>
    <mergeCell ref="A3:A7"/>
    <mergeCell ref="A9:A13"/>
    <mergeCell ref="A15:A18"/>
    <mergeCell ref="A20:A23"/>
    <mergeCell ref="E1:G1"/>
    <mergeCell ref="C1:D1"/>
    <mergeCell ref="A1:A2"/>
    <mergeCell ref="B1:B2"/>
  </mergeCells>
  <phoneticPr fontId="1" type="noConversion"/>
  <pageMargins left="0.7" right="0.7" top="0.75" bottom="0.75" header="0.3" footer="0.3"/>
  <pageSetup paperSize="9" scale="7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CZY</dc:creator>
  <cp:lastModifiedBy>则义 陈</cp:lastModifiedBy>
  <cp:lastPrinted>2024-06-25T08:54:33Z</cp:lastPrinted>
  <dcterms:created xsi:type="dcterms:W3CDTF">2015-06-05T18:19:34Z</dcterms:created>
  <dcterms:modified xsi:type="dcterms:W3CDTF">2025-07-14T01:56:02Z</dcterms:modified>
</cp:coreProperties>
</file>